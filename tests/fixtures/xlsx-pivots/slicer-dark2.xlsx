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1" saveData="1">
  <cacheSource type="worksheet">
    <worksheetSource ref="A1:E17" sheet="Data"/>
  </cacheSource>
  <cacheFields count="5">
    <cacheField name="Region">
      <sharedItems count="4">
        <s v="South"/>
        <s v="North"/>
        <s v="West"/>
        <s v="East"/>
      </sharedItems>
    </cacheField>
    <cacheField name="Product">
      <sharedItems count="4">
        <s v="Bananas"/>
        <s v="Dates"/>
        <s v="Apples"/>
        <s v="Cherries"/>
      </sharedItems>
    </cacheField>
    <cacheField name="Date">
      <sharedItems containsDate="1" containsNonDate="0" count="16">
        <d v="2024-05-22T00:00:00Z"/>
        <d v="2025-04-13T00:00:00Z"/>
        <d v="2024-12-10T00:00:00Z"/>
        <d v="2024-08-02T00:00:00Z"/>
        <d v="2025-12-02T00:00:00Z"/>
        <d v="2025-05-03T00:00:00Z"/>
        <d v="2024-01-05T00:00:00Z"/>
        <d v="2024-05-18T00:00:00Z"/>
        <d v="2025-01-28T00:00:00Z"/>
        <d v="2025-01-15T00:00:00Z"/>
        <d v="2025-05-14T00:00:00Z"/>
        <d v="2025-07-04T00:00:00Z"/>
        <d v="2024-03-31T00:00:00Z"/>
        <d v="2025-06-04T00:00:00Z"/>
        <d v="2024-11-12T00:00:00Z"/>
        <d v="2024-01-16T00:00:00Z"/>
      </sharedItems>
    </cacheField>
    <cacheField name="Sales">
      <sharedItems count="16">
        <n v="6799"/>
        <n v="2066.01"/>
        <n v="1649.02"/>
        <n v="3500.03"/>
        <n v="7923.04"/>
        <n v="766.05"/>
        <n v="2277.06"/>
        <n v="2560.07"/>
        <n v="6655.08"/>
        <n v="8954.09"/>
        <n v="6873.1"/>
        <n v="7884.11"/>
        <n v="7411.12"/>
        <n v="1742.13"/>
        <n v="4053.14"/>
        <n v="952.15"/>
      </sharedItems>
    </cacheField>
    <cacheField name="Units">
      <sharedItems count="14">
        <n v="71"/>
        <n v="68"/>
        <n v="63"/>
        <n v="70"/>
        <n v="7"/>
        <n v="32"/>
        <n v="34"/>
        <n v="3"/>
        <n v="72"/>
        <n v="80"/>
        <n v="59"/>
        <n v="84"/>
        <n v="41"/>
        <n v="66"/>
      </sharedItems>
    </cacheField>
  </cacheFields>
  <extLst>
    <ext xmlns:x14="http://schemas.microsoft.com/office/spreadsheetml/2009/9/main" uri="{BBE1A952-AA13-448e-AADC-164F8A28A991}">
      <x14:pivotCacheDefinition pivotCacheId="1" slicerData="1"/>
    </ext>
  </extLst>
</pivotCacheDefinition>
</file>

<file path=xl/pivotCache/pivotCacheRecords1.xml><?xml version="1.0" encoding="utf-8"?>
<pivotCacheRecords xmlns="http://schemas.openxmlformats.org/spreadsheetml/2006/main" count="16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0"/>
    <x v="4"/>
    <x v="4"/>
    <x v="4"/>
  </r>
  <r>
    <x v="1"/>
    <x v="1"/>
    <x v="5"/>
    <x v="5"/>
    <x v="5"/>
  </r>
  <r>
    <x v="2"/>
    <x v="2"/>
    <x v="6"/>
    <x v="6"/>
    <x v="0"/>
  </r>
  <r>
    <x v="3"/>
    <x v="3"/>
    <x v="7"/>
    <x v="7"/>
    <x v="6"/>
  </r>
  <r>
    <x v="0"/>
    <x v="0"/>
    <x v="8"/>
    <x v="8"/>
    <x v="7"/>
  </r>
  <r>
    <x v="1"/>
    <x v="1"/>
    <x v="9"/>
    <x v="9"/>
    <x v="8"/>
  </r>
  <r>
    <x v="2"/>
    <x v="2"/>
    <x v="10"/>
    <x v="10"/>
    <x v="7"/>
  </r>
  <r>
    <x v="3"/>
    <x v="3"/>
    <x v="11"/>
    <x v="11"/>
    <x v="9"/>
  </r>
  <r>
    <x v="0"/>
    <x v="0"/>
    <x v="12"/>
    <x v="12"/>
    <x v="10"/>
  </r>
  <r>
    <x v="1"/>
    <x v="1"/>
    <x v="13"/>
    <x v="13"/>
    <x v="11"/>
  </r>
  <r>
    <x v="2"/>
    <x v="2"/>
    <x v="14"/>
    <x v="14"/>
    <x v="12"/>
  </r>
  <r>
    <x v="3"/>
    <x v="3"/>
    <x v="15"/>
    <x v="15"/>
    <x v="13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H6" firstHeaderRow="1" firstDataRow="2" firstDataCol="1"/>
  <pivotFields count="5">
    <pivotField axis="axisRow" showAll="0">
      <items count="4">
        <item x="0"/>
        <item x="1"/>
        <item x="2"/>
        <item x="3"/>
      </items>
    </pivotField>
    <pivotField showAll="0">
      <items count="4">
        <item x="0"/>
        <item x="1"/>
        <item x="2"/>
        <item x="3"/>
      </items>
    </pivotField>
    <pivotField showAll="0">
      <items count="1">
        <item t="default"/>
      </items>
    </pivotField>
    <pivotField dataField="1" showAll="0">
      <items count="1">
        <item t="default"/>
      </items>
    </pivotField>
    <pivotField showAll="0">
      <items count="1">
        <item t="default"/>
      </items>
    </pivotField>
  </pivotFields>
  <rowFields count="1">
    <field x="0"/>
  </rowFields>
  <rowItems count="4">
    <i>
      <x v="0"/>
    </i>
    <i>
      <x v="1"/>
    </i>
    <i>
      <x v="2"/>
    </i>
    <i>
      <x v="3"/>
    </i>
  </rowItems>
  <dataFields count="1">
    <dataField name="Sum of Sales" fld="3" subtotal="sum"/>
  </dataFields>
  <pivotTableStyleInfo name="PivotStyleLight16" showRowHeaders="1" showColHeaders="1" showRowStripes="1" showColStripes="0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Dark2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5-06-22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14896.359999999999</v>
      </c>
    </row>
    <row r="3">
      <c r="G3" t="inlineStr">
        <is>
          <t>West</t>
        </is>
      </c>
      <c r="H3">
        <v>14852.32</v>
      </c>
    </row>
    <row r="4">
      <c r="G4" t="inlineStr">
        <is>
          <t>North</t>
        </is>
      </c>
      <c r="H4">
        <v>13528.280000000002</v>
      </c>
    </row>
    <row r="5">
      <c r="G5" t="inlineStr">
        <is>
          <t>South</t>
        </is>
      </c>
      <c r="H5">
        <v>28788.24</v>
      </c>
    </row>
    <row r="6">
      <c r="G6" t="inlineStr">
        <is>
          <t>Grand Total</t>
        </is>
      </c>
      <c r="H6">
        <v>72065.2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17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45434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45760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45636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45506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45993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45780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45296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45430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45685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45672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45791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45842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45382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45812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45608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45307</v>
      </c>
      <c r="D17">
        <v>952.15</v>
      </c>
      <c r="E17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