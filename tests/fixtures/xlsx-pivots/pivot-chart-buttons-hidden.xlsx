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4FC5D1C7-5750-3045-9BF1-B18F0AA49BCD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243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<sst xmlns="http://schemas.openxmlformats.org/spreadsheetml/2006/main" count="104" uniqueCount="19">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</sst>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[pivot-chart-buttons-hidden.xlsx]Pivot!樞紐分析表2</c:name>
    <c:fmtId val="0"/>
  </c:pivotSource>
  <c:chart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Pivot!$B$3:$B$5</c:f>
              <c:strCache>
                <c:ptCount val="1"/>
                <c:pt idx="0">
                  <c:v>2022 - Sum of Sales</c:v>
                </c:pt>
              </c:strCache>
            </c:strRef>
          </c:tx>
          <c:invertIfNegative val="0"/>
          <c:cat>
            <c:multiLvlStrRef>
              <c:f>Pivot!$A$6:$A$22</c:f>
              <c:multiLvlStrCache>
                <c:ptCount val="12"/>
                <c:lvl>
                  <c:pt idx="0">
                    <c:v>Apples</c:v>
                  </c:pt>
                  <c:pt idx="1">
                    <c:v>Bananas</c:v>
                  </c:pt>
                  <c:pt idx="2">
                    <c:v>Cherries</c:v>
                  </c:pt>
                  <c:pt idx="3">
                    <c:v>Apples</c:v>
                  </c:pt>
                  <c:pt idx="4">
                    <c:v>Bananas</c:v>
                  </c:pt>
                  <c:pt idx="5">
                    <c:v>Cherries</c:v>
                  </c:pt>
                  <c:pt idx="6">
                    <c:v>Apples</c:v>
                  </c:pt>
                  <c:pt idx="7">
                    <c:v>Bananas</c:v>
                  </c:pt>
                  <c:pt idx="8">
                    <c:v>Cherries</c:v>
                  </c:pt>
                  <c:pt idx="9">
                    <c:v>Apples</c:v>
                  </c:pt>
                  <c:pt idx="10">
                    <c:v>Bananas</c:v>
                  </c:pt>
                  <c:pt idx="11">
                    <c:v>Cherries</c:v>
                  </c:pt>
                </c:lvl>
                <c:lvl>
                  <c:pt idx="0">
                    <c:v>East</c:v>
                  </c:pt>
                  <c:pt idx="3">
                    <c:v>North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Pivot!$B$6:$B$22</c:f>
              <c:numCache>
                <c:formatCode>General</c:formatCode>
                <c:ptCount val="12"/>
                <c:pt idx="0">
                  <c:v>952.15</c:v>
                </c:pt>
                <c:pt idx="1">
                  <c:v>3568.31</c:v>
                </c:pt>
                <c:pt idx="2">
                  <c:v>4548.3500000000004</c:v>
                </c:pt>
                <c:pt idx="3">
                  <c:v>8954.09</c:v>
                </c:pt>
                <c:pt idx="5">
                  <c:v>5630.29</c:v>
                </c:pt>
                <c:pt idx="6">
                  <c:v>6799</c:v>
                </c:pt>
                <c:pt idx="9">
                  <c:v>4877.3</c:v>
                </c:pt>
                <c:pt idx="10">
                  <c:v>1897.34</c:v>
                </c:pt>
                <c:pt idx="11">
                  <c:v>3745.26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CB-B542-B5B8-79499B0469C6}"/>
            </c:ext>
          </c:extLst>
        </c:ser>
        <c:ser>
          <c:idx val="1"/>
          <c:order val="1"/>
          <c:tx>
            <c:strRef>
              <c:f>Pivot!$C$3:$C$5</c:f>
              <c:strCache>
                <c:ptCount val="1"/>
                <c:pt idx="0">
                  <c:v>2022 - Sum of Units</c:v>
                </c:pt>
              </c:strCache>
            </c:strRef>
          </c:tx>
          <c:invertIfNegative val="0"/>
          <c:cat>
            <c:multiLvlStrRef>
              <c:f>Pivot!$A$6:$A$22</c:f>
              <c:multiLvlStrCache>
                <c:ptCount val="12"/>
                <c:lvl>
                  <c:pt idx="0">
                    <c:v>Apples</c:v>
                  </c:pt>
                  <c:pt idx="1">
                    <c:v>Bananas</c:v>
                  </c:pt>
                  <c:pt idx="2">
                    <c:v>Cherries</c:v>
                  </c:pt>
                  <c:pt idx="3">
                    <c:v>Apples</c:v>
                  </c:pt>
                  <c:pt idx="4">
                    <c:v>Bananas</c:v>
                  </c:pt>
                  <c:pt idx="5">
                    <c:v>Cherries</c:v>
                  </c:pt>
                  <c:pt idx="6">
                    <c:v>Apples</c:v>
                  </c:pt>
                  <c:pt idx="7">
                    <c:v>Bananas</c:v>
                  </c:pt>
                  <c:pt idx="8">
                    <c:v>Cherries</c:v>
                  </c:pt>
                  <c:pt idx="9">
                    <c:v>Apples</c:v>
                  </c:pt>
                  <c:pt idx="10">
                    <c:v>Bananas</c:v>
                  </c:pt>
                  <c:pt idx="11">
                    <c:v>Cherries</c:v>
                  </c:pt>
                </c:lvl>
                <c:lvl>
                  <c:pt idx="0">
                    <c:v>East</c:v>
                  </c:pt>
                  <c:pt idx="3">
                    <c:v>North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Pivot!$C$6:$C$22</c:f>
              <c:numCache>
                <c:formatCode>General</c:formatCode>
                <c:ptCount val="12"/>
                <c:pt idx="0">
                  <c:v>66</c:v>
                </c:pt>
                <c:pt idx="1">
                  <c:v>22</c:v>
                </c:pt>
                <c:pt idx="2">
                  <c:v>82</c:v>
                </c:pt>
                <c:pt idx="3">
                  <c:v>72</c:v>
                </c:pt>
                <c:pt idx="5">
                  <c:v>54</c:v>
                </c:pt>
                <c:pt idx="6">
                  <c:v>71</c:v>
                </c:pt>
                <c:pt idx="9">
                  <c:v>77</c:v>
                </c:pt>
                <c:pt idx="10">
                  <c:v>69</c:v>
                </c:pt>
                <c:pt idx="11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CB-B542-B5B8-79499B0469C6}"/>
            </c:ext>
          </c:extLst>
        </c:ser>
        <c:ser>
          <c:idx val="2"/>
          <c:order val="2"/>
          <c:tx>
            <c:strRef>
              <c:f>Pivot!$D$3:$D$5</c:f>
              <c:strCache>
                <c:ptCount val="1"/>
                <c:pt idx="0">
                  <c:v>2023 - Sum of Sales</c:v>
                </c:pt>
              </c:strCache>
            </c:strRef>
          </c:tx>
          <c:invertIfNegative val="0"/>
          <c:cat>
            <c:multiLvlStrRef>
              <c:f>Pivot!$A$6:$A$22</c:f>
              <c:multiLvlStrCache>
                <c:ptCount val="12"/>
                <c:lvl>
                  <c:pt idx="0">
                    <c:v>Apples</c:v>
                  </c:pt>
                  <c:pt idx="1">
                    <c:v>Bananas</c:v>
                  </c:pt>
                  <c:pt idx="2">
                    <c:v>Cherries</c:v>
                  </c:pt>
                  <c:pt idx="3">
                    <c:v>Apples</c:v>
                  </c:pt>
                  <c:pt idx="4">
                    <c:v>Bananas</c:v>
                  </c:pt>
                  <c:pt idx="5">
                    <c:v>Cherries</c:v>
                  </c:pt>
                  <c:pt idx="6">
                    <c:v>Apples</c:v>
                  </c:pt>
                  <c:pt idx="7">
                    <c:v>Bananas</c:v>
                  </c:pt>
                  <c:pt idx="8">
                    <c:v>Cherries</c:v>
                  </c:pt>
                  <c:pt idx="9">
                    <c:v>Apples</c:v>
                  </c:pt>
                  <c:pt idx="10">
                    <c:v>Bananas</c:v>
                  </c:pt>
                  <c:pt idx="11">
                    <c:v>Cherries</c:v>
                  </c:pt>
                </c:lvl>
                <c:lvl>
                  <c:pt idx="0">
                    <c:v>East</c:v>
                  </c:pt>
                  <c:pt idx="3">
                    <c:v>North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Pivot!$D$6:$D$22</c:f>
              <c:numCache>
                <c:formatCode>General</c:formatCode>
                <c:ptCount val="12"/>
                <c:pt idx="0">
                  <c:v>3500.03</c:v>
                </c:pt>
                <c:pt idx="1">
                  <c:v>4396.26</c:v>
                </c:pt>
                <c:pt idx="2">
                  <c:v>6032.23</c:v>
                </c:pt>
                <c:pt idx="3">
                  <c:v>3960.54</c:v>
                </c:pt>
                <c:pt idx="7">
                  <c:v>8699.2800000000007</c:v>
                </c:pt>
                <c:pt idx="9">
                  <c:v>5718.24</c:v>
                </c:pt>
                <c:pt idx="10">
                  <c:v>6873.1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CB-B542-B5B8-79499B0469C6}"/>
            </c:ext>
          </c:extLst>
        </c:ser>
        <c:ser>
          <c:idx val="3"/>
          <c:order val="3"/>
          <c:tx>
            <c:strRef>
              <c:f>Pivot!$E$3:$E$5</c:f>
              <c:strCache>
                <c:ptCount val="1"/>
                <c:pt idx="0">
                  <c:v>2023 - Sum of Units</c:v>
                </c:pt>
              </c:strCache>
            </c:strRef>
          </c:tx>
          <c:invertIfNegative val="0"/>
          <c:cat>
            <c:multiLvlStrRef>
              <c:f>Pivot!$A$6:$A$22</c:f>
              <c:multiLvlStrCache>
                <c:ptCount val="12"/>
                <c:lvl>
                  <c:pt idx="0">
                    <c:v>Apples</c:v>
                  </c:pt>
                  <c:pt idx="1">
                    <c:v>Bananas</c:v>
                  </c:pt>
                  <c:pt idx="2">
                    <c:v>Cherries</c:v>
                  </c:pt>
                  <c:pt idx="3">
                    <c:v>Apples</c:v>
                  </c:pt>
                  <c:pt idx="4">
                    <c:v>Bananas</c:v>
                  </c:pt>
                  <c:pt idx="5">
                    <c:v>Cherries</c:v>
                  </c:pt>
                  <c:pt idx="6">
                    <c:v>Apples</c:v>
                  </c:pt>
                  <c:pt idx="7">
                    <c:v>Bananas</c:v>
                  </c:pt>
                  <c:pt idx="8">
                    <c:v>Cherries</c:v>
                  </c:pt>
                  <c:pt idx="9">
                    <c:v>Apples</c:v>
                  </c:pt>
                  <c:pt idx="10">
                    <c:v>Bananas</c:v>
                  </c:pt>
                  <c:pt idx="11">
                    <c:v>Cherries</c:v>
                  </c:pt>
                </c:lvl>
                <c:lvl>
                  <c:pt idx="0">
                    <c:v>East</c:v>
                  </c:pt>
                  <c:pt idx="3">
                    <c:v>North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Pivot!$E$6:$E$22</c:f>
              <c:numCache>
                <c:formatCode>General</c:formatCode>
                <c:ptCount val="12"/>
                <c:pt idx="0">
                  <c:v>70</c:v>
                </c:pt>
                <c:pt idx="1">
                  <c:v>42</c:v>
                </c:pt>
                <c:pt idx="2">
                  <c:v>66</c:v>
                </c:pt>
                <c:pt idx="3">
                  <c:v>140</c:v>
                </c:pt>
                <c:pt idx="7">
                  <c:v>37</c:v>
                </c:pt>
                <c:pt idx="9">
                  <c:v>92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CB-B542-B5B8-79499B0469C6}"/>
            </c:ext>
          </c:extLst>
        </c:ser>
        <c:ser>
          <c:idx val="4"/>
          <c:order val="4"/>
          <c:tx>
            <c:strRef>
              <c:f>Pivot!$F$3:$F$5</c:f>
              <c:strCache>
                <c:ptCount val="1"/>
                <c:pt idx="0">
                  <c:v>2024 - Sum of Sales</c:v>
                </c:pt>
              </c:strCache>
            </c:strRef>
          </c:tx>
          <c:invertIfNegative val="0"/>
          <c:cat>
            <c:multiLvlStrRef>
              <c:f>Pivot!$A$6:$A$22</c:f>
              <c:multiLvlStrCache>
                <c:ptCount val="12"/>
                <c:lvl>
                  <c:pt idx="0">
                    <c:v>Apples</c:v>
                  </c:pt>
                  <c:pt idx="1">
                    <c:v>Bananas</c:v>
                  </c:pt>
                  <c:pt idx="2">
                    <c:v>Cherries</c:v>
                  </c:pt>
                  <c:pt idx="3">
                    <c:v>Apples</c:v>
                  </c:pt>
                  <c:pt idx="4">
                    <c:v>Bananas</c:v>
                  </c:pt>
                  <c:pt idx="5">
                    <c:v>Cherries</c:v>
                  </c:pt>
                  <c:pt idx="6">
                    <c:v>Apples</c:v>
                  </c:pt>
                  <c:pt idx="7">
                    <c:v>Bananas</c:v>
                  </c:pt>
                  <c:pt idx="8">
                    <c:v>Cherries</c:v>
                  </c:pt>
                  <c:pt idx="9">
                    <c:v>Apples</c:v>
                  </c:pt>
                  <c:pt idx="10">
                    <c:v>Bananas</c:v>
                  </c:pt>
                  <c:pt idx="11">
                    <c:v>Cherries</c:v>
                  </c:pt>
                </c:lvl>
                <c:lvl>
                  <c:pt idx="0">
                    <c:v>East</c:v>
                  </c:pt>
                  <c:pt idx="3">
                    <c:v>North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Pivot!$F$6:$F$22</c:f>
              <c:numCache>
                <c:formatCode>General</c:formatCode>
                <c:ptCount val="12"/>
                <c:pt idx="0">
                  <c:v>5716.27</c:v>
                </c:pt>
                <c:pt idx="2">
                  <c:v>7884.11</c:v>
                </c:pt>
                <c:pt idx="4">
                  <c:v>4618.3900000000003</c:v>
                </c:pt>
                <c:pt idx="5">
                  <c:v>8288.2199999999993</c:v>
                </c:pt>
                <c:pt idx="6">
                  <c:v>10050.36</c:v>
                </c:pt>
                <c:pt idx="7">
                  <c:v>9234.2000000000007</c:v>
                </c:pt>
                <c:pt idx="8">
                  <c:v>23657.599999999999</c:v>
                </c:pt>
                <c:pt idx="10">
                  <c:v>949.22</c:v>
                </c:pt>
                <c:pt idx="11">
                  <c:v>5702.16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CB-B542-B5B8-79499B0469C6}"/>
            </c:ext>
          </c:extLst>
        </c:ser>
        <c:ser>
          <c:idx val="5"/>
          <c:order val="5"/>
          <c:tx>
            <c:strRef>
              <c:f>Pivot!$G$3:$G$5</c:f>
              <c:strCache>
                <c:ptCount val="1"/>
                <c:pt idx="0">
                  <c:v>2024 - Sum of Units</c:v>
                </c:pt>
              </c:strCache>
            </c:strRef>
          </c:tx>
          <c:invertIfNegative val="0"/>
          <c:cat>
            <c:multiLvlStrRef>
              <c:f>Pivot!$A$6:$A$22</c:f>
              <c:multiLvlStrCache>
                <c:ptCount val="12"/>
                <c:lvl>
                  <c:pt idx="0">
                    <c:v>Apples</c:v>
                  </c:pt>
                  <c:pt idx="1">
                    <c:v>Bananas</c:v>
                  </c:pt>
                  <c:pt idx="2">
                    <c:v>Cherries</c:v>
                  </c:pt>
                  <c:pt idx="3">
                    <c:v>Apples</c:v>
                  </c:pt>
                  <c:pt idx="4">
                    <c:v>Bananas</c:v>
                  </c:pt>
                  <c:pt idx="5">
                    <c:v>Cherries</c:v>
                  </c:pt>
                  <c:pt idx="6">
                    <c:v>Apples</c:v>
                  </c:pt>
                  <c:pt idx="7">
                    <c:v>Bananas</c:v>
                  </c:pt>
                  <c:pt idx="8">
                    <c:v>Cherries</c:v>
                  </c:pt>
                  <c:pt idx="9">
                    <c:v>Apples</c:v>
                  </c:pt>
                  <c:pt idx="10">
                    <c:v>Bananas</c:v>
                  </c:pt>
                  <c:pt idx="11">
                    <c:v>Cherries</c:v>
                  </c:pt>
                </c:lvl>
                <c:lvl>
                  <c:pt idx="0">
                    <c:v>East</c:v>
                  </c:pt>
                  <c:pt idx="3">
                    <c:v>North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Pivot!$G$6:$G$22</c:f>
              <c:numCache>
                <c:formatCode>General</c:formatCode>
                <c:ptCount val="12"/>
                <c:pt idx="0">
                  <c:v>24</c:v>
                </c:pt>
                <c:pt idx="2">
                  <c:v>80</c:v>
                </c:pt>
                <c:pt idx="4">
                  <c:v>218</c:v>
                </c:pt>
                <c:pt idx="5">
                  <c:v>34</c:v>
                </c:pt>
                <c:pt idx="6">
                  <c:v>112</c:v>
                </c:pt>
                <c:pt idx="7">
                  <c:v>32</c:v>
                </c:pt>
                <c:pt idx="8">
                  <c:v>125</c:v>
                </c:pt>
                <c:pt idx="10">
                  <c:v>51</c:v>
                </c:pt>
                <c:pt idx="11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0CB-B542-B5B8-79499B0469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497792"/>
        <c:axId val="106507648"/>
      </c:barChart>
      <c:catAx>
        <c:axId val="106497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6507648"/>
        <c:crosses val="autoZero"/>
        <c:auto val="1"/>
        <c:lblAlgn val="ctr"/>
        <c:lblOffset val="100"/>
        <c:noMultiLvlLbl val="0"/>
      </c:catAx>
      <c:valAx>
        <c:axId val="1065076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64977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88900</xdr:colOff>
      <xdr:row>1</xdr:row>
      <xdr:rowOff>63500</xdr:rowOff>
    </xdr:from>
    <xdr:to>
      <xdr:col>15</xdr:col>
      <xdr:colOff>533400</xdr:colOff>
      <xdr:row>17</xdr:row>
      <xdr:rowOff>63500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648B384B-F20E-67D2-520C-546D9F9BCC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7163703704" createdVersion="8" refreshedVersion="8" minRefreshableVersion="3" recordCount="36" xr:uid="{6D0D7B28-7BA4-D845-B57D-7D154BE39B4D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2437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chartFormat="1" rowHeaderCaption="Row Labels" colHeaderCaption="Column Labels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832031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>
        <v>9068.8100000000013</v>
      </c>
      <c r="C6">
        <v>170</v>
      </c>
      <c r="D6">
        <v>13928.52</v>
      </c>
      <c r="E6">
        <v>178</v>
      </c>
      <c r="F6">
        <v>13600.380000000001</v>
      </c>
      <c r="G6">
        <v>104</v>
      </c>
      <c r="H6">
        <v>36597.71</v>
      </c>
      <c r="I6">
        <v>452</v>
      </c>
    </row>
    <row r="7" spans="1:9">
      <c r="A7" s="3" t="s">
        <v>6</v>
      </c>
      <c r="B7">
        <v>952.15</v>
      </c>
      <c r="C7">
        <v>66</v>
      </c>
      <c r="D7">
        <v>3500.03</v>
      </c>
      <c r="E7">
        <v>70</v>
      </c>
      <c r="F7">
        <v>5716.27</v>
      </c>
      <c r="G7">
        <v>24</v>
      </c>
      <c r="H7">
        <v>10168.450000000001</v>
      </c>
      <c r="I7">
        <v>160</v>
      </c>
    </row>
    <row r="8" spans="1:9">
      <c r="A8" s="3" t="s">
        <v>8</v>
      </c>
      <c r="B8">
        <v>3568.31</v>
      </c>
      <c r="C8">
        <v>22</v>
      </c>
      <c r="D8">
        <v>4396.26</v>
      </c>
      <c r="E8">
        <v>42</v>
      </c>
      <c r="H8">
        <v>7964.57</v>
      </c>
      <c r="I8">
        <v>64</v>
      </c>
    </row>
    <row r="9" spans="1:9">
      <c r="A9" s="3" t="s">
        <v>10</v>
      </c>
      <c r="B9">
        <v>4548.3500000000004</v>
      </c>
      <c r="C9">
        <v>82</v>
      </c>
      <c r="D9">
        <v>6032.23</v>
      </c>
      <c r="E9">
        <v>66</v>
      </c>
      <c r="F9">
        <v>7884.11</v>
      </c>
      <c r="G9">
        <v>80</v>
      </c>
      <c r="H9">
        <v>18464.689999999999</v>
      </c>
      <c r="I9">
        <v>228</v>
      </c>
    </row>
    <row r="10" spans="1:9">
      <c r="A10" s="2" t="s">
        <v>7</v>
      </c>
      <c r="B10">
        <v>14584.380000000001</v>
      </c>
      <c r="C10">
        <v>126</v>
      </c>
      <c r="D10">
        <v>3960.54</v>
      </c>
      <c r="E10">
        <v>140</v>
      </c>
      <c r="F10">
        <v>12906.61</v>
      </c>
      <c r="G10">
        <v>252</v>
      </c>
      <c r="H10">
        <v>31451.53</v>
      </c>
      <c r="I10">
        <v>518</v>
      </c>
    </row>
    <row r="11" spans="1:9">
      <c r="A11" s="3" t="s">
        <v>6</v>
      </c>
      <c r="B11">
        <v>8954.09</v>
      </c>
      <c r="C11">
        <v>72</v>
      </c>
      <c r="D11">
        <v>3960.54</v>
      </c>
      <c r="E11">
        <v>140</v>
      </c>
      <c r="H11">
        <v>12914.630000000001</v>
      </c>
      <c r="I11">
        <v>212</v>
      </c>
    </row>
    <row r="12" spans="1:9">
      <c r="A12" s="3" t="s">
        <v>8</v>
      </c>
      <c r="F12">
        <v>4618.3900000000003</v>
      </c>
      <c r="G12">
        <v>218</v>
      </c>
      <c r="H12">
        <v>4618.3900000000003</v>
      </c>
      <c r="I12">
        <v>218</v>
      </c>
    </row>
    <row r="13" spans="1:9">
      <c r="A13" s="3" t="s">
        <v>10</v>
      </c>
      <c r="B13">
        <v>5630.29</v>
      </c>
      <c r="C13">
        <v>54</v>
      </c>
      <c r="F13">
        <v>8288.2199999999993</v>
      </c>
      <c r="G13">
        <v>34</v>
      </c>
      <c r="H13">
        <v>13918.509999999998</v>
      </c>
      <c r="I13">
        <v>88</v>
      </c>
    </row>
    <row r="14" spans="1:9">
      <c r="A14" s="2" t="s">
        <v>5</v>
      </c>
      <c r="B14">
        <v>6799</v>
      </c>
      <c r="C14">
        <v>71</v>
      </c>
      <c r="D14">
        <v>8699.2800000000007</v>
      </c>
      <c r="E14">
        <v>37</v>
      </c>
      <c r="F14">
        <v>42942.16</v>
      </c>
      <c r="G14">
        <v>269</v>
      </c>
      <c r="H14">
        <v>58440.44</v>
      </c>
      <c r="I14">
        <v>377</v>
      </c>
    </row>
    <row r="15" spans="1:9">
      <c r="A15" s="3" t="s">
        <v>6</v>
      </c>
      <c r="B15">
        <v>6799</v>
      </c>
      <c r="C15">
        <v>71</v>
      </c>
      <c r="F15">
        <v>10050.36</v>
      </c>
      <c r="G15">
        <v>112</v>
      </c>
      <c r="H15">
        <v>16849.36</v>
      </c>
      <c r="I15">
        <v>183</v>
      </c>
    </row>
    <row r="16" spans="1:9">
      <c r="A16" s="3" t="s">
        <v>8</v>
      </c>
      <c r="D16">
        <v>8699.2800000000007</v>
      </c>
      <c r="E16">
        <v>37</v>
      </c>
      <c r="F16">
        <v>9234.2000000000007</v>
      </c>
      <c r="G16">
        <v>32</v>
      </c>
      <c r="H16">
        <v>17933.480000000003</v>
      </c>
      <c r="I16">
        <v>69</v>
      </c>
    </row>
    <row r="17" spans="1:9">
      <c r="A17" s="3" t="s">
        <v>10</v>
      </c>
      <c r="F17">
        <v>23657.599999999999</v>
      </c>
      <c r="G17">
        <v>125</v>
      </c>
      <c r="H17">
        <v>23657.599999999999</v>
      </c>
      <c r="I17">
        <v>125</v>
      </c>
    </row>
    <row r="18" spans="1:9">
      <c r="A18" s="2" t="s">
        <v>9</v>
      </c>
      <c r="B18">
        <v>10519.900000000001</v>
      </c>
      <c r="C18">
        <v>233</v>
      </c>
      <c r="D18">
        <v>12591.34</v>
      </c>
      <c r="E18">
        <v>95</v>
      </c>
      <c r="F18">
        <v>6651.38</v>
      </c>
      <c r="G18">
        <v>155</v>
      </c>
      <c r="H18">
        <v>29762.620000000003</v>
      </c>
      <c r="I18">
        <v>483</v>
      </c>
    </row>
    <row r="19" spans="1:9">
      <c r="A19" s="3" t="s">
        <v>6</v>
      </c>
      <c r="B19">
        <v>4877.3</v>
      </c>
      <c r="C19">
        <v>77</v>
      </c>
      <c r="D19">
        <v>5718.24</v>
      </c>
      <c r="E19">
        <v>92</v>
      </c>
      <c r="H19">
        <v>10595.54</v>
      </c>
      <c r="I19">
        <v>169</v>
      </c>
    </row>
    <row r="20" spans="1:9">
      <c r="A20" s="3" t="s">
        <v>8</v>
      </c>
      <c r="B20">
        <v>1897.34</v>
      </c>
      <c r="C20">
        <v>69</v>
      </c>
      <c r="D20">
        <v>6873.1</v>
      </c>
      <c r="E20">
        <v>3</v>
      </c>
      <c r="F20">
        <v>949.22</v>
      </c>
      <c r="G20">
        <v>51</v>
      </c>
      <c r="H20">
        <v>9719.66</v>
      </c>
      <c r="I20">
        <v>123</v>
      </c>
    </row>
    <row r="21" spans="1:9">
      <c r="A21" s="3" t="s">
        <v>10</v>
      </c>
      <c r="B21">
        <v>3745.26</v>
      </c>
      <c r="C21">
        <v>87</v>
      </c>
      <c r="F21">
        <v>5702.16</v>
      </c>
      <c r="G21">
        <v>104</v>
      </c>
      <c r="H21">
        <v>9447.42</v>
      </c>
      <c r="I21">
        <v>191</v>
      </c>
    </row>
    <row r="22" spans="1:9">
      <c r="A22" s="2" t="s">
        <v>14</v>
      </c>
      <c r="B22">
        <v>40972.090000000004</v>
      </c>
      <c r="C22">
        <v>600</v>
      </c>
      <c r="D22">
        <v>39179.68</v>
      </c>
      <c r="E22">
        <v>450</v>
      </c>
      <c r="F22">
        <v>76100.53</v>
      </c>
      <c r="G22">
        <v>780</v>
      </c>
      <c r="H22">
        <v>156252.30000000002</v>
      </c>
      <c r="I22">
        <v>1830</v>
      </c>
    </row>
  </sheetData>
  <phoneticPr fontId="2" type="noConversion"/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2026-10-29T10:21:46Z</dcterms:modified>
</cp:coreProperties>
</file>